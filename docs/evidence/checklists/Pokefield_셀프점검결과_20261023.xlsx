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<sst xmlns="http://schemas.openxmlformats.org/spreadsheetml/2006/main" count="158" uniqueCount="133">
  <si>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</si>
  <si>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</si>
  <si>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해당하지 않는 도메인 항목
※ 확인하지 않은 것을 통과로 적지 않습니다</t>
    </r>
    <r>
      <rPr>
        <sz val="10"/>
        <rFont val="맑은 고딕"/>
        <family val="3"/>
        <charset val="129"/>
      </rPr>
      <t xml:space="preserve">.</t>
    </r>
  </si>
  <si>
    <t xml:space="preserve">앱 작성자</t>
  </si>
  <si>
    <t xml:space="preserve">점검자</t>
  </si>
  <si>
    <t xml:space="preserve">점검 일시</t>
  </si>
  <si>
    <r>
      <rPr>
        <sz val="9"/>
        <color rgb="FF595959"/>
        <rFont val="Noto Sans CJK SC"/>
        <family val="2"/>
      </rPr>
      <t xml:space="preserve">연한 노란 칸만 입력합니다</t>
    </r>
    <r>
      <rPr>
        <sz val="9"/>
        <color rgb="FF595959"/>
        <rFont val="맑은 고딕"/>
        <family val="0"/>
        <charset val="1"/>
      </rPr>
      <t xml:space="preserve">.  </t>
    </r>
    <r>
      <rPr>
        <sz val="9"/>
        <color rgb="FF595959"/>
        <rFont val="Noto Sans CJK SC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(G</t>
    </r>
    <r>
      <rPr>
        <sz val="9"/>
        <color rgb="FF595959"/>
        <rFont val="Noto Sans CJK SC"/>
        <family val="2"/>
      </rPr>
      <t xml:space="preserve">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해당없음</t>
    </r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</si>
  <si>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</si>
  <si>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</si>
  <si>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</si>
  <si>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</si>
  <si>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</si>
  <si>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</si>
  <si>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r>
      <rPr>
        <b val="true"/>
        <sz val="11"/>
        <rFont val="Noto Sans CJK SC"/>
        <family val="2"/>
      </rPr>
      <t xml:space="preserve">증빙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캡처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파일명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</si>
  <si>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비고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실패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미확인 사유</t>
    </r>
    <r>
      <rPr>
        <b val="true"/>
        <sz val="11"/>
        <rFont val="맑은 고딕"/>
        <family val="3"/>
        <charset val="129"/>
      </rPr>
      <t xml:space="preserve">)</t>
    </r>
  </si>
  <si>
    <t xml:space="preserve">데이터와 색인</t>
  </si>
  <si>
    <t xml:space="preserve">F2001</t>
  </si>
  <si>
    <r>
      <rPr>
        <sz val="10"/>
        <rFont val="Noto Sans CJK SC"/>
        <family val="2"/>
      </rPr>
      <t xml:space="preserve"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텍스트에 의도한 속성이 모두 들어 있다</t>
    </r>
  </si>
  <si>
    <r>
      <rPr>
        <sz val="10"/>
        <rFont val="Noto Sans CJK SC"/>
        <family val="2"/>
      </rPr>
      <t xml:space="preserve"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 확인</t>
    </r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</si>
  <si>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</si>
  <si>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</si>
  <si>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</si>
  <si>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문서 수집과 색인</t>
  </si>
  <si>
    <t xml:space="preserve">F2003 · F2004</t>
  </si>
  <si>
    <r>
      <rPr>
        <sz val="10"/>
        <rFont val="Noto Sans CJK SC"/>
        <family val="2"/>
      </rPr>
      <t xml:space="preserve">검색어 추출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1)</t>
    </r>
    <r>
      <rPr>
        <sz val="10"/>
        <rFont val="Noto Sans CJK SC"/>
        <family val="2"/>
      </rPr>
      <t xml:space="preserve"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후보 선별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2)</t>
    </r>
    <r>
      <rPr>
        <sz val="10"/>
        <rFont val="Noto Sans CJK SC"/>
        <family val="2"/>
      </rPr>
      <t xml:space="preserve"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</si>
  <si>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개를 실행하고 검색어 목록과 선별 결과를 나란히 출력</t>
    </r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</si>
  <si>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</si>
  <si>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</si>
  <si>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</si>
  <si>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</si>
  <si>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</si>
  <si>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</si>
  <si>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답변과 근거</t>
  </si>
  <si>
    <t xml:space="preserve">F2006</t>
  </si>
  <si>
    <r>
      <rPr>
        <sz val="10"/>
        <rFont val="Noto Sans CJK SC"/>
        <family val="2"/>
      </rPr>
      <t xml:space="preserve">검색할 근거 수</t>
    </r>
    <r>
      <rPr>
        <sz val="10"/>
        <rFont val="맑은 고딕"/>
        <family val="3"/>
        <charset val="129"/>
      </rPr>
      <t xml:space="preserve">(Top-k)</t>
    </r>
    <r>
      <rPr>
        <sz val="10"/>
        <rFont val="Noto Sans CJK SC"/>
        <family val="2"/>
      </rPr>
      <t xml:space="preserve"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</si>
  <si>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</si>
  <si>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</si>
  <si>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</si>
  <si>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</si>
  <si>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F2008</t>
  </si>
  <si>
    <r>
      <rPr>
        <sz val="10"/>
        <rFont val="Noto Sans CJK SC"/>
        <family val="2"/>
      </rPr>
      <t xml:space="preserve"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메타데이터와 외부 문서가 구분되어 표시된다</t>
    </r>
  </si>
  <si>
    <t xml:space="preserve">답변을 생성해 번호와 목록을 대조</t>
  </si>
  <si>
    <t xml:space="preserve">F2007 · F2008</t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</si>
  <si>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</si>
  <si>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t xml:space="preserve">색인에 없는 내용을 질문해 답변과 안내 확인</t>
  </si>
  <si>
    <t xml:space="preserve">서비스 기능과 화면</t>
  </si>
  <si>
    <t xml:space="preserve">F2009</t>
  </si>
  <si>
    <t xml:space="preserve"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</si>
  <si>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 xml:space="preserve">B</t>
    </r>
    <r>
      <rPr>
        <sz val="10"/>
        <rFont val="Noto Sans CJK SC"/>
        <family val="2"/>
      </rPr>
      <t xml:space="preserve">로 바꿔 질문</t>
    </r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</si>
  <si>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</si>
  <si>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</si>
  <si>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</si>
  <si>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</si>
  <si>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</si>
  <si>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</si>
  <si>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F2012</t>
  </si>
  <si>
    <r>
      <rPr>
        <sz val="10"/>
        <rFont val="Noto Sans CJK SC"/>
        <family val="2"/>
      </rPr>
      <t xml:space="preserve"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없을 때 각각 안내가 표시된다</t>
    </r>
  </si>
  <si>
    <r>
      <rPr>
        <sz val="10"/>
        <rFont val="Noto Sans CJK SC"/>
        <family val="2"/>
      </rPr>
      <t xml:space="preserve"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키를 비우고 실행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</si>
  <si>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</si>
  <si>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</si>
  <si>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r>
      <rPr>
        <b val="true"/>
        <sz val="11"/>
        <rFont val="Noto Sans CJK SC"/>
        <family val="2"/>
      </rPr>
      <t xml:space="preserve">심화 기능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선택한 것만</t>
    </r>
    <r>
      <rPr>
        <b val="true"/>
        <sz val="11"/>
        <rFont val="맑은 고딕"/>
        <family val="3"/>
        <charset val="129"/>
      </rPr>
      <t xml:space="preserve">)</t>
    </r>
  </si>
  <si>
    <t xml:space="preserve"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</si>
  <si>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 xml:space="preserve"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</si>
  <si>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표시 확인</t>
    </r>
  </si>
  <si>
    <t xml:space="preserve"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</si>
  <si>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</si>
  <si>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t xml:space="preserve">두 검색 방식의 근거 목록을 나란히 비교</t>
  </si>
  <si>
    <t xml:space="preserve"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</si>
  <si>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 xml:space="preserve">5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근거 없이 답하면 틀리기 쉬운 질문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모르는 것을 모른다고 답하는지를 비교해 기록했다</t>
    </r>
  </si>
  <si>
    <t xml:space="preserve">비교 기록 확인</t>
  </si>
  <si>
    <t xml:space="preserve">비교 결과를 문서로 작성해 제출물에 포함했다</t>
  </si>
  <si>
    <t xml:space="preserve">제출물 폴더 확인</t>
  </si>
  <si>
    <t xml:space="preserve">F2016</t>
  </si>
  <si>
    <t xml:space="preserve">근거 목록에 출처의 종류가 구분되어 표시된다</t>
  </si>
  <si>
    <t xml:space="preserve">근거 목록 화면 확인</t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</si>
  <si>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</si>
  <si>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</si>
  <si>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</si>
  <si>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</si>
  <si>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</si>
  <si>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오류 추적 정보가 노출되지 않는다</t>
    </r>
  </si>
  <si>
    <r>
      <rPr>
        <sz val="10"/>
        <rFont val="Noto Sans CJK SC"/>
        <family val="2"/>
      </rPr>
      <t xml:space="preserve"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 xml:space="preserve"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오류 상황을 일부러 만들어 화면 확인</t>
    </r>
  </si>
  <si>
    <t xml:space="preserve"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</si>
  <si>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 xml:space="preserve">· UI</t>
    </r>
    <r>
      <rPr>
        <sz val="10"/>
        <rFont val="Noto Sans CJK SC"/>
        <family val="2"/>
      </rPr>
      <t xml:space="preserve">가 모듈로 분리되어 있다</t>
    </r>
  </si>
  <si>
    <t xml:space="preserve">파일 구성 확인</t>
  </si>
  <si>
    <t xml:space="preserve"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</si>
  <si>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호출 간격과 출처가 요구하는 식별 정보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</si>
  <si>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헤더 확인</t>
    </r>
  </si>
  <si>
    <t xml:space="preserve"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</si>
  <si>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</si>
  <si>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</si>
  <si>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t xml:space="preserve">제출 전 점검</t>
  </si>
  <si>
    <t xml:space="preserve"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</si>
  <si>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 xml:space="preserve">F2001 ~ F2012</t>
    </r>
    <r>
      <rPr>
        <sz val="10"/>
        <rFont val="Noto Sans CJK SC"/>
        <family val="2"/>
      </rPr>
      <t xml:space="preserve"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선택한 심화 기능은 필수 기능의 결과와 비교되어 있다</t>
    </r>
  </si>
  <si>
    <r>
      <rPr>
        <sz val="10"/>
        <rFont val="Noto Sans CJK SC"/>
        <family val="2"/>
      </rPr>
      <t xml:space="preserve"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비교 기록 확인</t>
    </r>
  </si>
  <si>
    <t xml:space="preserve">증명을 위한 스크린샷 항목을 모두 첨부했다</t>
  </si>
  <si>
    <t xml:space="preserve"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</si>
  <si>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 xml:space="preserve">검증 결과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상호 체크리스트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모두 포함했다</t>
    </r>
  </si>
  <si>
    <t xml:space="preserve">집계</t>
  </si>
  <si>
    <t xml:space="preserve"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</si>
  <si>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「미기입」이 남아 있으면 비고에 사유가 적혀 있는지 확인합니다</t>
    </r>
    <r>
      <rPr>
        <sz val="10"/>
        <rFont val="맑은 고딕"/>
        <family val="3"/>
        <charset val="129"/>
      </rPr>
      <t xml:space="preserve">.</t>
    </r>
  </si>
  <si>
    <t xml:space="preserve">실패</t>
  </si>
  <si>
    <t xml:space="preserve">미확인</t>
  </si>
  <si>
    <t xml:space="preserve">해당없음</t>
  </si>
  <si>
    <t xml:space="preserve">미기입</t>
  </si>
  <si>
    <t xml:space="preserve">전체 항목</t>
  </si>
  <si>
    <r>
      <rPr>
        <b val="true"/>
        <sz val="11"/>
        <rFont val="Noto Sans CJK SC"/>
        <family val="2"/>
      </rPr>
      <t xml:space="preserve">상호 점검 피드백 — 상호 점검 때만 작성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짧게 한두 문장</t>
    </r>
    <r>
      <rPr>
        <b val="true"/>
        <sz val="11"/>
        <rFont val="맑은 고딕"/>
        <family val="0"/>
        <charset val="1"/>
      </rPr>
      <t xml:space="preserve">)</t>
    </r>
  </si>
  <si>
    <t xml:space="preserve">잘한 것 하나</t>
  </si>
  <si>
    <t xml:space="preserve">개선할 것 하나</t>
  </si>
  <si>
    <r>
      <rPr>
        <b val="true"/>
        <sz val="14"/>
        <color rgb="FF000000"/>
        <rFont val="Noto Sans CJK SC"/>
        <family val="2"/>
      </rPr>
      <t xml:space="preserve">셀프 </t>
    </r>
    <r>
      <rPr>
        <b val="true"/>
        <sz val="14"/>
        <color rgb="FF000000"/>
        <rFont val="맑은 고딕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상호 체크리스트 작성 안내</t>
    </r>
  </si>
  <si>
    <t xml:space="preserve"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</si>
  <si>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15:30 ~ 16:30 · </t>
    </r>
    <r>
      <rPr>
        <sz val="10"/>
        <color rgb="FF000000"/>
        <rFont val="Noto Sans CJK SC"/>
        <family val="2"/>
      </rPr>
      <t xml:space="preserve">내 앱을 직접 실행하며 항목을 하나씩 확인합니다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16:30 ~ 17:30 · </t>
    </r>
    <r>
      <rPr>
        <sz val="10"/>
        <color rgb="FF000000"/>
        <rFont val="Noto Sans CJK SC"/>
        <family val="2"/>
      </rPr>
      <t xml:space="preserve">셀프 때와 같은 양식으로 옆 교육생의 앱을 점검하고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점검자 칸에 이름을 적어 주고받습니다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</si>
  <si>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무엇을 적나</t>
  </si>
  <si>
    <r>
      <rPr>
        <sz val="10"/>
        <color rgb="FF000000"/>
        <rFont val="Noto Sans CJK SC"/>
        <family val="2"/>
      </rPr>
      <t xml:space="preserve">점검 유형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상호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 일시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비고를 적습니다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연한 노란 칸만 입력합니다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확인 항목과 확인 방법은 고치지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</si>
  <si>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증명이 필요한 항목은 증빙 첨부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해당하지 않는 도메인 항목</t>
    </r>
  </si>
  <si>
    <t xml:space="preserve">증빙</t>
  </si>
  <si>
    <r>
      <rPr>
        <sz val="10"/>
        <color rgb="FF000000"/>
        <rFont val="Noto Sans CJK SC"/>
        <family val="2"/>
      </rPr>
      <t xml:space="preserve">화면 캡처의 파일명을 적고 제출물에 함께 넣습니다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번호를 앞에 붙이면 찾기 쉽습니다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04_</t>
    </r>
    <r>
      <rPr>
        <sz val="10"/>
        <color rgb="FF000000"/>
        <rFont val="Noto Sans CJK SC"/>
        <family val="2"/>
      </rPr>
      <t xml:space="preserve">재질문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수집로그</t>
    </r>
    <r>
      <rPr>
        <sz val="10"/>
        <color rgb="FF000000"/>
        <rFont val="맑은 고딕"/>
        <family val="0"/>
        <charset val="1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키와 오류 상세 내용이 보이지 않게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</si>
  <si>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체크리스트 아래 집계 칸이 결과를 자동으로 셉니다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「미기입」이 남아 있으면 비고에 사유가 적혀 있는지 확인합니다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</si>
  <si>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상호 피드백</t>
  </si>
  <si>
    <r>
      <rPr>
        <sz val="10"/>
        <color rgb="FF000000"/>
        <rFont val="Noto Sans CJK SC"/>
        <family val="2"/>
      </rPr>
      <t xml:space="preserve">상호 점검 때는 맨 아래에 잘한 것 하나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개선할 것 하나를 짧게 적어 돌려줍니다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지적받은 결함 중 고칠 수 있는 것만 고치고 최종 제출합니다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 기능은 넣지 않습니다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</si>
  <si>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가장 중요한 규칙</t>
  </si>
  <si>
    <r>
      <rPr>
        <b val="true"/>
        <sz val="10"/>
        <color rgb="FFC00000"/>
        <rFont val="Noto Sans CJK SC"/>
        <family val="2"/>
      </rPr>
      <t xml:space="preserve">확인하지 않은 것을 통과로 적지 않습니다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</si>
  <si>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작성 예시 — 모양만 보여 주는 예입니다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실제 체크리스트에는 이 줄을 옮기지 않습니다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</si>
  <si>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증빙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캡처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파일명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</si>
  <si>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미확인 사유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</si>
  <si>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</si>
  <si>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</si>
  <si>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</si>
  <si>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문서에 없으면 답하지 않는다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</si>
  <si>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선택한 것만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</si>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</sst>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-mm-dd"/>
  </numFmts>
  <fonts count="2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name val="맑은 고딕"/>
      <family val="0"/>
      <charset val="1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 applyNumberFormat="1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B3" s="2" t="s">
        <v>1</v>
      </c>
      <c r="C3" s="3" t="inlineStr">
        <is>
          <t>셀프</t>
        </is>
      </c>
      <c r="D3" s="3"/>
      <c r="E3" s="3"/>
      <c r="F3" s="4" t="s">
        <v>2</v>
      </c>
      <c r="G3" s="4"/>
      <c r="H3" s="4"/>
      <c r="I3" s="4"/>
    </row>
    <row r="4" customFormat="false" ht="24" hidden="false" customHeight="true" outlineLevel="0" collapsed="false">
      <c r="B4" s="2" t="s">
        <v>3</v>
      </c>
      <c r="C4" s="3"/>
      <c r="D4" s="3"/>
      <c r="E4" s="3"/>
      <c r="F4" s="4"/>
      <c r="G4" s="4"/>
      <c r="H4" s="4"/>
      <c r="I4" s="4"/>
    </row>
    <row r="5" customFormat="false" ht="24" hidden="false" customHeight="true" outlineLevel="0" collapsed="false">
      <c r="B5" s="2" t="s">
        <v>4</v>
      </c>
      <c r="C5" s="3" t="inlineStr">
        <is>
          <t>AI QA (자동 점검)</t>
        </is>
      </c>
      <c r="D5" s="3"/>
      <c r="E5" s="3"/>
      <c r="F5" s="4"/>
      <c r="G5" s="4"/>
      <c r="H5" s="4"/>
      <c r="I5" s="4"/>
    </row>
    <row r="6" customFormat="false" ht="24" hidden="false" customHeight="true" outlineLevel="0" collapsed="false">
      <c r="B6" s="2" t="s">
        <v>5</v>
      </c>
      <c r="C6" s="27">
        <v>2026-10-23T00:00:00.000Z</v>
      </c>
      <c r="D6" s="3"/>
      <c r="E6" s="3"/>
      <c r="F6" s="4"/>
      <c r="G6" s="4"/>
      <c r="H6" s="4"/>
      <c r="I6" s="4"/>
    </row>
    <row r="7" customFormat="false" ht="18" hidden="false" customHeight="true" outlineLevel="0" collapsed="false">
      <c r="B7" s="5" t="s">
        <v>6</v>
      </c>
      <c r="C7" s="5"/>
      <c r="D7" s="5"/>
      <c r="E7" s="5"/>
      <c r="F7" s="5"/>
      <c r="G7" s="5"/>
      <c r="H7" s="5"/>
      <c r="I7" s="5"/>
    </row>
    <row r="8" customFormat="false" ht="24" hidden="false" customHeight="true" outlineLevel="0" collapsed="false"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88" hidden="false" customHeight="1" outlineLevel="0" collapsed="false">
      <c r="B9" s="6" t="s">
        <v>15</v>
      </c>
      <c r="C9" s="7" t="n">
        <v>1</v>
      </c>
      <c r="D9" s="7" t="s">
        <v>16</v>
      </c>
      <c r="E9" s="4" t="s">
        <v>17</v>
      </c>
      <c r="F9" s="4" t="s">
        <v>18</v>
      </c>
      <c r="G9" s="8" t="inlineStr">
        <is>
          <t>통과</t>
        </is>
      </c>
      <c r="H9" s="3" t="inlineStr">
        <is>
          <t>C:/Users/SSAFY/Documents/Codex/checklist_xlsx_work/current-backend-results.json</t>
        </is>
      </c>
      <c r="I9" s="3" t="inlineStr">
        <is>
          <t>현재 Catalog 6,260행=복사 Chroma meta 6,260건. 피카츄 텍스트의 이름·타입·능력치·특성 확인. 종 수 1,025와 구분.</t>
        </is>
      </c>
    </row>
    <row r="10" customFormat="false" ht="88" hidden="false" customHeight="1" outlineLevel="0" collapsed="false">
      <c r="B10" s="6"/>
      <c r="C10" s="7" t="n">
        <v>2</v>
      </c>
      <c r="D10" s="7" t="s">
        <v>19</v>
      </c>
      <c r="E10" s="4" t="s">
        <v>20</v>
      </c>
      <c r="F10" s="4" t="s">
        <v>21</v>
      </c>
      <c r="G10" s="8" t="inlineStr">
        <is>
          <t>통과</t>
        </is>
      </c>
      <c r="H10" s="3" t="inlineStr">
        <is>
          <t>C:/Users/SSAFY/Documents/Codex/checklist_xlsx_work/current-backend-results.json</t>
        </is>
      </c>
      <c r="I10" s="3" t="inlineStr">
        <is>
          <t>동일 meta 전체 upsert 2회 모두 changed=0, skipped=6260. 원본 DB가 아닌 복사본 사용, 새 임베딩 차단.</t>
        </is>
      </c>
    </row>
    <row r="11" customFormat="false" ht="88" hidden="false" customHeight="1" outlineLevel="0" collapsed="false">
      <c r="B11" s="6" t="s">
        <v>22</v>
      </c>
      <c r="C11" s="7" t="n">
        <v>3</v>
      </c>
      <c r="D11" s="7" t="s">
        <v>23</v>
      </c>
      <c r="E11" s="4" t="s">
        <v>24</v>
      </c>
      <c r="F11" s="4" t="s">
        <v>25</v>
      </c>
      <c r="G11" s="8" t="inlineStr">
        <is>
          <t>통과</t>
        </is>
      </c>
      <c r="H11" s="3" t="inlineStr">
        <is>
          <t>C:/Users/SSAFY/Documents/Codex/checklist_xlsx_work/current-backend-results.json</t>
        </is>
      </c>
      <c r="I11" s="3" t="inlineStr">
        <is>
          <t>현재 수집 함수를 저장 Wiki 응답+기존 모델 JSON 재생으로 실행. 검색어3개, 후보8개 중61168 선택. 신규 실 API 결과가 아님.</t>
        </is>
      </c>
    </row>
    <row r="12" customFormat="false" ht="88" hidden="false" customHeight="1" outlineLevel="0" collapsed="false">
      <c r="B12" s="6"/>
      <c r="C12" s="7" t="n">
        <v>4</v>
      </c>
      <c r="D12" s="7" t="s">
        <v>26</v>
      </c>
      <c r="E12" s="4" t="s">
        <v>27</v>
      </c>
      <c r="F12" s="4" t="s">
        <v>28</v>
      </c>
      <c r="G12" s="8" t="inlineStr">
        <is>
          <t>통과</t>
        </is>
      </c>
      <c r="H12" s="3" t="inlineStr">
        <is>
          <t>C:/Users/SSAFY/Documents/Codex/checklist_xlsx_work/current-backend-results.json</t>
        </is>
      </c>
      <c r="I12" s="3" t="inlineStr">
        <is>
          <t>동일 질문 두 번 실행, 신규 HTTP/임베딩0, changed_chunks=0. 첫/두번째 시간 기록. 수집 캐시 경로 검증.</t>
        </is>
      </c>
    </row>
    <row r="13" customFormat="false" ht="88" hidden="false" customHeight="1" outlineLevel="0" collapsed="false">
      <c r="B13" s="6"/>
      <c r="C13" s="7" t="n">
        <v>5</v>
      </c>
      <c r="D13" s="7" t="s">
        <v>29</v>
      </c>
      <c r="E13" s="4" t="s">
        <v>30</v>
      </c>
      <c r="F13" s="4" t="s">
        <v>31</v>
      </c>
      <c r="G13" s="8" t="inlineStr">
        <is>
          <t>통과</t>
        </is>
      </c>
      <c r="H13" s="3" t="inlineStr">
        <is>
          <t>C:/Users/SSAFY/Documents/Codex/checklist_xlsx_work/current-backend-results.json</t>
        </is>
      </c>
      <c r="I13" s="3" t="inlineStr">
        <is>
          <t>1000/200→18, 500/100→36, 200/20→79청크. 별도 DB와 FakeEmbeddings 사용. 품질 우열은 미측정.</t>
        </is>
      </c>
    </row>
    <row r="14" customFormat="false" ht="88" hidden="false" customHeight="1" outlineLevel="0" collapsed="false">
      <c r="B14" s="6" t="s">
        <v>32</v>
      </c>
      <c r="C14" s="7" t="n">
        <v>6</v>
      </c>
      <c r="D14" s="7" t="s">
        <v>33</v>
      </c>
      <c r="E14" s="4" t="s">
        <v>34</v>
      </c>
      <c r="F14" s="9" t="s">
        <v>35</v>
      </c>
      <c r="G14" s="8" t="inlineStr">
        <is>
          <t>통과</t>
        </is>
      </c>
      <c r="H14" s="3" t="inlineStr">
        <is>
          <t>C:/Users/SSAFY/Documents/Codex/checklist_xlsx_work/current-backend-results.json</t>
        </is>
      </c>
      <c r="I14" s="3" t="inlineStr">
        <is>
          <t>동일 질문 Top-k1/3/5에 필수meta 포함 근거2/4/6개. 실제 복사 색인, 질의 임베딩 캐시, ID 중복 없음.</t>
        </is>
      </c>
    </row>
    <row r="15" customFormat="false" ht="88" hidden="false" customHeight="1" outlineLevel="0" collapsed="false">
      <c r="B15" s="6"/>
      <c r="C15" s="7" t="n">
        <v>7</v>
      </c>
      <c r="D15" s="7" t="s">
        <v>36</v>
      </c>
      <c r="E15" s="9" t="s">
        <v>37</v>
      </c>
      <c r="F15" s="4" t="s">
        <v>38</v>
      </c>
      <c r="G15" s="8" t="inlineStr">
        <is>
          <t>통과</t>
        </is>
      </c>
      <c r="H15" s="3" t="inlineStr">
        <is>
          <t>C:/Users/SSAFY/Documents/Codex/checklist_xlsx_work/current-backend-results.json</t>
        </is>
      </c>
      <c r="I15" s="3" t="inlineStr">
        <is>
          <t>현재 build_graph 구조를 실행해 START→retrieve→generate→END 확인. 별도 에이전트 그래프가 아님.</t>
        </is>
      </c>
    </row>
    <row r="16" customFormat="false" ht="102" hidden="false" customHeight="1" outlineLevel="0" collapsed="false">
      <c r="B16" s="6"/>
      <c r="C16" s="7" t="n">
        <v>8</v>
      </c>
      <c r="D16" s="7" t="s">
        <v>39</v>
      </c>
      <c r="E16" s="4" t="s">
        <v>40</v>
      </c>
      <c r="F16" s="4" t="s">
        <v>41</v>
      </c>
      <c r="G16" s="8" t="inlineStr">
        <is>
          <t>통과</t>
        </is>
      </c>
      <c r="H16" s="3" t="inlineStr">
        <is>
          <t>C:/Users/SSAFY/Documents/Codex/checklist_xlsx_work/screenshots/04b-external-citations-FakeLLM-current.png</t>
        </is>
      </c>
      <c r="I16" s="3" t="inlineStr">
        <is>
          <t>현재 Chrome에서 번호·메타/외부 유형·제목·링크 확인. UI 생성은 FakeLLM. 실제 GMS 인용 검증은 기존 final_service_20261023/live-results.json 4사례와 구분.</t>
        </is>
      </c>
    </row>
    <row r="17" customFormat="false" ht="117" hidden="false" customHeight="1" outlineLevel="0" collapsed="false">
      <c r="B17" s="6"/>
      <c r="C17" s="7" t="n">
        <v>9</v>
      </c>
      <c r="D17" s="7" t="s">
        <v>42</v>
      </c>
      <c r="E17" s="4" t="s">
        <v>43</v>
      </c>
      <c r="F17" s="4" t="s">
        <v>44</v>
      </c>
      <c r="G17" s="8" t="inlineStr">
        <is>
          <t>통과</t>
        </is>
      </c>
      <c r="H17" s="3" t="inlineStr">
        <is>
          <t>C:/Users/SSAFY/Documents/Codex/final_service_20261023/live-results.json
C:/Users/SSAFY/Documents/Codex/submission_evidence_work/screenshots/07-no-evidence-FakeLLM-current.png</t>
        </is>
      </c>
      <c r="I17" s="3" t="inlineStr">
        <is>
          <t>기존 실제 GMS는 가상대회 질문에 확인 불가. 무인용 UI는 별도 FakeLLM 캡처·현재 AppTest로 확인. 새 실 LLM 호출 없음.</t>
        </is>
      </c>
    </row>
    <row r="18" customFormat="false" ht="117" hidden="false" customHeight="1" outlineLevel="0" collapsed="false">
      <c r="B18" s="6" t="s">
        <v>45</v>
      </c>
      <c r="C18" s="7" t="n">
        <v>10</v>
      </c>
      <c r="D18" s="7" t="s">
        <v>46</v>
      </c>
      <c r="E18" s="4" t="s">
        <v>47</v>
      </c>
      <c r="F18" s="4" t="s">
        <v>48</v>
      </c>
      <c r="G18" s="8" t="inlineStr">
        <is>
          <t>통과</t>
        </is>
      </c>
      <c r="H18" s="3" t="inlineStr">
        <is>
          <t>C:/Users/SSAFY/Documents/Codex/checklist_xlsx_work/game-results.json
C:/Users/SSAFY/Documents/Codex/checklist_xlsx_work/screenshots/game-mobile-chat.png</t>
        </is>
      </c>
      <c r="I18" s="3" t="inlineStr">
        <is>
          <t>현재 Chrome: 전체→피카츄→라이츄→피카츄 전환, 개별 기록2개 복원. 로컬 답변·임시SQLite. 실제 계정 장기저장 검증 아님.</t>
        </is>
      </c>
    </row>
    <row r="19" customFormat="false" ht="102" hidden="false" customHeight="1" outlineLevel="0" collapsed="false">
      <c r="B19" s="6"/>
      <c r="C19" s="7" t="n">
        <v>11</v>
      </c>
      <c r="D19" s="7" t="s">
        <v>49</v>
      </c>
      <c r="E19" s="4" t="s">
        <v>50</v>
      </c>
      <c r="F19" s="4" t="s">
        <v>51</v>
      </c>
      <c r="G19" s="8" t="inlineStr">
        <is>
          <t>통과</t>
        </is>
      </c>
      <c r="H19" s="3" t="inlineStr">
        <is>
          <t>C:/Users/SSAFY/Documents/Codex/checklist_xlsx_work/current-tests.log
C:/Users/SSAFY/Documents/Codex/checklist_xlsx_work/browser-results.json</t>
        </is>
      </c>
      <c r="I19" s="3" t="inlineStr">
        <is>
          <t>155개 회귀의 타입·특성·능력치·기술 조건 정확성/후보 외 ID 검사. Chrome에서 특성·기술 첫/추가 페이지 선택→질문 확인. 모의/로컬 경로.</t>
        </is>
      </c>
    </row>
    <row r="20" customFormat="false" ht="102" hidden="false" customHeight="1" outlineLevel="0" collapsed="false">
      <c r="B20" s="6"/>
      <c r="C20" s="7" t="n">
        <v>12</v>
      </c>
      <c r="D20" s="7" t="s">
        <v>52</v>
      </c>
      <c r="E20" s="4" t="s">
        <v>53</v>
      </c>
      <c r="F20" s="4" t="s">
        <v>54</v>
      </c>
      <c r="G20" s="8" t="inlineStr">
        <is>
          <t>통과</t>
        </is>
      </c>
      <c r="H20" s="3" t="inlineStr">
        <is>
          <t>C:/Users/SSAFY/Documents/Codex/final_service_20261023/live-results.json
C:/Users/SSAFY/Documents/Codex/checklist_xlsx_work/current-tests.log</t>
        </is>
      </c>
      <c r="I20" s="3" t="inlineStr">
        <is>
          <t>실제 팬텀6→7 특성 변경과 두 세대 인용, 현재 세대비교 회귀 확인. 변경 설명 뒤 모순된 확인 불가 문구가 붙는 품질 문제는 미해결. generate()의 not_found와 유효 claim 처리 분리 필요.</t>
        </is>
      </c>
    </row>
    <row r="21" customFormat="false" ht="192" hidden="false" customHeight="1" outlineLevel="0" collapsed="false">
      <c r="B21" s="6"/>
      <c r="C21" s="7" t="n">
        <v>13</v>
      </c>
      <c r="D21" s="7" t="s">
        <v>55</v>
      </c>
      <c r="E21" s="4" t="s">
        <v>56</v>
      </c>
      <c r="F21" s="4" t="s">
        <v>57</v>
      </c>
      <c r="G21" s="8" t="inlineStr">
        <is>
          <t>통과</t>
        </is>
      </c>
      <c r="H21" s="3" t="inlineStr">
        <is>
          <t>C:/Users/SSAFY/Documents/Codex/checklist_xlsx_work/screenshots/03-progress-FakeLLM-current.png
C:/Users/SSAFY/Documents/Codex/checklist_xlsx_work/screenshots/06-missing-key-current.png
C:/Users/SSAFY/Documents/Codex/checklist_xlsx_work/screenshots/06-empty-index-current.png</t>
        </is>
      </c>
      <c r="I21" s="3" t="inlineStr">
        <is>
          <t>현재 생성 스피너와 키/빈 색인 안내 Chrome 확인. 운영 색인 삭제·실제 키 변경 없이 격리 상태. 생성은 FakeLLM, 수집 상태 실HTTP 시연은 미실행.</t>
        </is>
      </c>
    </row>
    <row r="22" customFormat="false" ht="88" hidden="false" customHeight="1" outlineLevel="0" collapsed="false">
      <c r="B22" s="6"/>
      <c r="C22" s="7" t="n">
        <v>14</v>
      </c>
      <c r="D22" s="7" t="s">
        <v>55</v>
      </c>
      <c r="E22" s="9" t="s">
        <v>58</v>
      </c>
      <c r="F22" s="4" t="s">
        <v>59</v>
      </c>
      <c r="G22" s="8" t="inlineStr">
        <is>
          <t>해당없음</t>
        </is>
      </c>
      <c r="H22" s="3" t="inlineStr">
        <is>
          <t>C:/SSAFY/pennant_race_ai_core_2/README.md</t>
        </is>
      </c>
      <c r="I22" s="3" t="inlineStr">
        <is>
          <t>포켓몬 게임 정보 도메인. 건강·금융 전문가 조언을 대신하지 않는다는 면책 조건 비해당.</t>
        </is>
      </c>
    </row>
    <row r="23" customFormat="false" ht="88" hidden="false" customHeight="1" outlineLevel="0" collapsed="false">
      <c r="B23" s="6" t="s">
        <v>60</v>
      </c>
      <c r="C23" s="7" t="n">
        <v>15</v>
      </c>
      <c r="D23" s="7" t="s">
        <v>61</v>
      </c>
      <c r="E23" s="4" t="s">
        <v>62</v>
      </c>
      <c r="F23" s="4" t="s">
        <v>63</v>
      </c>
      <c r="G23" s="8" t="inlineStr">
        <is>
          <t>해당없음</t>
        </is>
      </c>
      <c r="H23" s="3" t="inlineStr">
        <is>
          <t>C:/SSAFY/pennant_race_ai_core_2/src/ui_rag.py</t>
        </is>
      </c>
      <c r="I23" s="3" t="inlineStr">
        <is>
          <t>사용자가 심화 미선택 확인. 맵/도감 HTML·CSS·JS는 동작하지만 채팅/근거는 Streamlit이므로 F2013 완전 충족 아님(부분 구현).</t>
        </is>
      </c>
    </row>
    <row r="24" customFormat="false" ht="88" hidden="false" customHeight="1" outlineLevel="0" collapsed="false">
      <c r="B24" s="6"/>
      <c r="C24" s="7" t="n">
        <v>16</v>
      </c>
      <c r="D24" s="7" t="s">
        <v>64</v>
      </c>
      <c r="E24" s="4" t="s">
        <v>65</v>
      </c>
      <c r="F24" s="4" t="s">
        <v>66</v>
      </c>
      <c r="G24" s="8" t="inlineStr">
        <is>
          <t>해당없음</t>
        </is>
      </c>
      <c r="H24" s="3" t="inlineStr">
        <is>
          <t>C:/Users/SSAFY/Documents/Codex/checklist_xlsx_work/current-backend-results.json</t>
        </is>
      </c>
      <c r="I24" s="3" t="inlineStr">
        <is>
          <t>사용자 심화 미선택. 현재 유사도Top-k만 구현, MMR 경로/실행 비교 없음. 선택 시 미충족.</t>
        </is>
      </c>
    </row>
    <row r="25" customFormat="false" ht="88" hidden="false" customHeight="1" outlineLevel="0" collapsed="false">
      <c r="B25" s="6"/>
      <c r="C25" s="7" t="n">
        <v>17</v>
      </c>
      <c r="D25" s="7" t="s">
        <v>67</v>
      </c>
      <c r="E25" s="4" t="s">
        <v>68</v>
      </c>
      <c r="F25" s="4" t="s">
        <v>69</v>
      </c>
      <c r="G25" s="8" t="inlineStr">
        <is>
          <t>해당없음</t>
        </is>
      </c>
      <c r="H25" s="3" t="inlineStr">
        <is>
          <t>C:/SSAFY/pennant_race_ai_core_2/docs/requirements.md</t>
        </is>
      </c>
      <c r="I25" s="3" t="inlineStr">
        <is>
          <t>사용자 심화 미선택. 동일5문항 비RAG/RAG 두 응답의 3기준 비교 미실행. 실제 GMS4회는 전후 비교 실험 아님.</t>
        </is>
      </c>
    </row>
    <row r="26" customFormat="false" ht="88" hidden="false" customHeight="1" outlineLevel="0" collapsed="false">
      <c r="B26" s="6"/>
      <c r="C26" s="7" t="n">
        <v>18</v>
      </c>
      <c r="D26" s="7" t="s">
        <v>67</v>
      </c>
      <c r="E26" s="4" t="s">
        <v>70</v>
      </c>
      <c r="F26" s="4" t="s">
        <v>71</v>
      </c>
      <c r="G26" s="8" t="inlineStr">
        <is>
          <t>해당없음</t>
        </is>
      </c>
      <c r="H26" s="3" t="inlineStr">
        <is>
          <t>C:/SSAFY/pennant_race_ai_core_2/docs/VERIFICATION_SUMMARY.md</t>
        </is>
      </c>
      <c r="I26" s="3" t="inlineStr">
        <is>
          <t>사용자 심화 미선택. F2015의 전후 비교 제출 문서 없음. 기존 RAG 단독 보고서와 구분.</t>
        </is>
      </c>
    </row>
    <row r="27" customFormat="false" ht="88" hidden="false" customHeight="1" outlineLevel="0" collapsed="false">
      <c r="B27" s="6"/>
      <c r="C27" s="7" t="n">
        <v>19</v>
      </c>
      <c r="D27" s="7" t="s">
        <v>72</v>
      </c>
      <c r="E27" s="4" t="s">
        <v>73</v>
      </c>
      <c r="F27" s="4" t="s">
        <v>74</v>
      </c>
      <c r="G27" s="8" t="inlineStr">
        <is>
          <t>해당없음</t>
        </is>
      </c>
      <c r="H27" s="3" t="inlineStr">
        <is>
          <t>C:/Users/SSAFY/Documents/Codex/checklist_xlsx_work/current-backend-results.json</t>
        </is>
      </c>
      <c r="I27" s="3" t="inlineStr">
        <is>
          <t>사용자 심화 미선택. 외부 docs는 ko.wikipedia.org 한 출처. meta/외부 유형 UI는 구분되지만 F2016의 서로 다른 외부 문서 출처 결합은 미충족.</t>
        </is>
      </c>
    </row>
    <row r="28" customFormat="false" ht="102" hidden="false" customHeight="1" outlineLevel="0" collapsed="false">
      <c r="B28" s="6" t="s">
        <v>75</v>
      </c>
      <c r="C28" s="7" t="n">
        <v>20</v>
      </c>
      <c r="D28" s="7" t="s">
        <v>76</v>
      </c>
      <c r="E28" s="4" t="s">
        <v>77</v>
      </c>
      <c r="F28" s="4" t="s">
        <v>78</v>
      </c>
      <c r="G28" s="8" t="inlineStr">
        <is>
          <t>미확인</t>
        </is>
      </c>
      <c r="H28" s="3" t="inlineStr">
        <is>
          <t>C:/Users/SSAFY/Documents/Codex/checklist_xlsx_work/current-backend-results.json
C:/Users/SSAFY/Documents/Codex/nf_stage/audit-results.json</t>
        </is>
      </c>
      <c r="I28" s="3" t="inlineStr">
        <is>
          <t>첫/반복 캐시 시간, 로컬 중앙값0.141/0.328초 및 기존 실제LLM2.016~6.031초 기록은 있음. 운영 허용시간·동시성·p95 미정이라 사용성 합격 미판정. 목표 확정 후 부하 측정 필요.</t>
        </is>
      </c>
    </row>
    <row r="29" customFormat="false" ht="102" hidden="false" customHeight="1" outlineLevel="0" collapsed="false">
      <c r="B29" s="6"/>
      <c r="C29" s="7" t="n">
        <v>21</v>
      </c>
      <c r="D29" s="7" t="s">
        <v>79</v>
      </c>
      <c r="E29" s="4" t="s">
        <v>80</v>
      </c>
      <c r="F29" s="4" t="s">
        <v>81</v>
      </c>
      <c r="G29" s="8" t="inlineStr">
        <is>
          <t>통과</t>
        </is>
      </c>
      <c r="H29" s="3" t="inlineStr">
        <is>
          <t>C:/Users/SSAFY/Documents/Codex/checklist_xlsx_work/current-tests.log
C:/Users/SSAFY/Documents/Codex/cleanup_stage/integrity-security-check.json</t>
        </is>
      </c>
      <c r="I29" s="3" t="inlineStr">
        <is>
          <t>현재 정보비노출 AppTest 통과. 기존 정리 후 텍스트156개·조건부 데이터/색인4572개에서 설정키 일치0, .env 미추적. 최종 새합본에는 재검사 필요.</t>
        </is>
      </c>
    </row>
    <row r="30" customFormat="false" ht="88" hidden="false" customHeight="1" outlineLevel="0" collapsed="false">
      <c r="B30" s="6"/>
      <c r="C30" s="7" t="n">
        <v>22</v>
      </c>
      <c r="D30" s="7" t="s">
        <v>82</v>
      </c>
      <c r="E30" s="4" t="s">
        <v>83</v>
      </c>
      <c r="F30" s="4" t="s">
        <v>84</v>
      </c>
      <c r="G30" s="8" t="inlineStr">
        <is>
          <t>통과</t>
        </is>
      </c>
      <c r="H30" s="3" t="inlineStr">
        <is>
          <t>C:/SSAFY/pennant_race_ai_core_2/src/
C:/Users/SSAFY/Documents/Codex/checklist_xlsx_work/current-backend-results.json</t>
        </is>
      </c>
      <c r="I30" s="3" t="inlineStr">
        <is>
          <t>Catalog/DocumentService/VectorStore/RagService/UI 책임 분리, 실제 import·그래프 실행·155개 회귀. 새 모듈 리팩터링하지 않음.</t>
        </is>
      </c>
    </row>
    <row r="31" customFormat="false" ht="102" hidden="false" customHeight="1" outlineLevel="0" collapsed="false">
      <c r="B31" s="6"/>
      <c r="C31" s="7" t="n">
        <v>23</v>
      </c>
      <c r="D31" s="7" t="s">
        <v>85</v>
      </c>
      <c r="E31" s="4" t="s">
        <v>86</v>
      </c>
      <c r="F31" s="4" t="s">
        <v>87</v>
      </c>
      <c r="G31" s="8" t="inlineStr">
        <is>
          <t>미확인</t>
        </is>
      </c>
      <c r="H31" s="3" t="inlineStr">
        <is>
          <t>C:/Users/SSAFY/Documents/Codex/checklist_xlsx_work/current-tests.log
C:/SSAFY/pennant_race_ai_core_2/src/document_service.py</t>
        </is>
      </c>
      <c r="I31" s="3" t="inlineStr">
        <is>
          <t>간격·재시도·헤더·빈연락처 신규HTTP차단 모의 시험 통과. 실제 WIKI_CONTACT 공란으로 신규 Wikipedia 전송 미실행. 운영자 실제 연락처 설정 후 실요청 확인 필요.</t>
        </is>
      </c>
    </row>
    <row r="32" customFormat="false" ht="147" hidden="false" customHeight="1" outlineLevel="0" collapsed="false">
      <c r="B32" s="6"/>
      <c r="C32" s="7" t="n">
        <v>24</v>
      </c>
      <c r="D32" s="7" t="s">
        <v>88</v>
      </c>
      <c r="E32" s="4" t="s">
        <v>89</v>
      </c>
      <c r="F32" s="9" t="s">
        <v>90</v>
      </c>
      <c r="G32" s="8" t="inlineStr">
        <is>
          <t>통과</t>
        </is>
      </c>
      <c r="H32" s="3" t="inlineStr">
        <is>
          <t>C:/SSAFY/pennant_race_ai_core_2/docs/SOURCES_AND_LICENSES.md
C:/SSAFY/pennant_race_ai_core_2/docs/wikipedia_sources.json
C:/SSAFY/pennant_race_ai_core_2/docs/asset_provenance.json</t>
        </is>
      </c>
      <c r="I32" s="3" t="inlineStr">
        <is>
          <t>출처/이용조건 기록은 존재하며 위키15개·자산15개 원본 상태 대조. 원출처·이미지 허락 미확인은 그대로 명시. 권리 확보/공개 배포 허용을 통과 판정한 것은 아님. 공개 배포 전 원작자·허락 증빙 확보 필요.</t>
        </is>
      </c>
    </row>
    <row r="33" customFormat="false" ht="102" hidden="false" customHeight="1" outlineLevel="0" collapsed="false">
      <c r="B33" s="6" t="s">
        <v>91</v>
      </c>
      <c r="C33" s="7" t="n">
        <v>25</v>
      </c>
      <c r="D33" s="10" t="s">
        <v>92</v>
      </c>
      <c r="E33" s="4" t="s">
        <v>93</v>
      </c>
      <c r="F33" s="4" t="s">
        <v>94</v>
      </c>
      <c r="G33" s="8" t="inlineStr">
        <is>
          <t>통과</t>
        </is>
      </c>
      <c r="H33" s="3" t="inlineStr">
        <is>
          <t>C:/Users/SSAFY/Documents/Codex/checklist_xlsx_work/current-tests.log
C:/SSAFY/pennant_race_ai_core_2/docs/requirements.md</t>
        </is>
      </c>
      <c r="I33" s="3" t="inlineStr">
        <is>
          <t>필수12개 기록 범위 재검증과 현재155개 통과. 심화 미선택이므로 선택심화 비교 비해당. 실새위키·실유료전체UI 미실행 및 비교 문구 품질 문제는 별도.</t>
        </is>
      </c>
    </row>
    <row r="34" customFormat="false" ht="102" hidden="false" customHeight="1" outlineLevel="0" collapsed="false">
      <c r="B34" s="6"/>
      <c r="C34" s="7" t="n">
        <v>26</v>
      </c>
      <c r="D34" s="10" t="s">
        <v>92</v>
      </c>
      <c r="E34" s="4" t="s">
        <v>95</v>
      </c>
      <c r="F34" s="4" t="s">
        <v>96</v>
      </c>
      <c r="G34" s="8" t="inlineStr">
        <is>
          <t>미확인</t>
        </is>
      </c>
      <c r="H34" s="3" t="inlineStr">
        <is>
          <t>C:/Users/SSAFY/Documents/Codex/Pokefield_제출증빙_20261023/04_스크린샷/스크린샷목록.md
C:/Users/SSAFY/Documents/Codex/checklist_xlsx_work/capture-results.json</t>
        </is>
      </c>
      <c r="I34" s="3" t="inlineStr">
        <is>
          <t>제출 묶음13장과 현재UI 캡처는 있음. 실제 새수집 진행·유료LLM 전체UI·실기기 등 모든 범위의 스크린샷은 없음. 평가자 요구범위 확정 후 부족한 화면 추가 필요.</t>
        </is>
      </c>
    </row>
    <row r="35" customFormat="false" ht="102" hidden="false" customHeight="1" outlineLevel="0" collapsed="false">
      <c r="B35" s="6"/>
      <c r="C35" s="7" t="n">
        <v>27</v>
      </c>
      <c r="D35" s="10" t="s">
        <v>92</v>
      </c>
      <c r="E35" s="4" t="s">
        <v>97</v>
      </c>
      <c r="F35" s="4" t="s">
        <v>71</v>
      </c>
      <c r="G35" s="8" t="inlineStr">
        <is>
          <t>통과</t>
        </is>
      </c>
      <c r="H35" s="3" t="inlineStr">
        <is>
          <t>C:/Users/SSAFY/Documents/Codex/Pokefield_제출증빙_20261023/00_증빙안내.md
C:/Users/SSAFY/Documents/Codex/cleanup_stage/제출파일_전체목록.json</t>
        </is>
      </c>
      <c r="I35" s="3" t="inlineStr">
        <is>
          <t>정의서·설계서·현재소스·README·검증표·테스트표·셀프/상호빈양식 존재 확인. 상호평가 미실행. 소스는 이전 복사본 대신 현재프로젝트 사용. 독립실행 데이터 전달/최종합본은 별도.</t>
        </is>
      </c>
    </row>
    <row r="37" customFormat="false" ht="19.5" hidden="false" customHeight="true" outlineLevel="0" collapsed="false">
      <c r="B37" s="2" t="s">
        <v>98</v>
      </c>
      <c r="C37" s="11" t="s">
        <v>99</v>
      </c>
      <c r="D37" s="11"/>
      <c r="E37" s="11"/>
      <c r="F37" s="12" t="n">
        <f aca="false">COUNTIF($G$9:$G$35,"통과")</f>
        <v>18</v>
      </c>
      <c r="G37" s="4" t="s">
        <v>100</v>
      </c>
      <c r="H37" s="4"/>
      <c r="I37" s="4"/>
    </row>
    <row r="38" customFormat="false" ht="19.5" hidden="false" customHeight="true" outlineLevel="0" collapsed="false">
      <c r="B38" s="2"/>
      <c r="C38" s="11" t="s">
        <v>101</v>
      </c>
      <c r="D38" s="11"/>
      <c r="E38" s="11"/>
      <c r="F38" s="12" t="n">
        <f aca="false">COUNTIF($G$9:$G$35,"실패")</f>
        <v>0</v>
      </c>
      <c r="G38" s="4"/>
      <c r="H38" s="4"/>
      <c r="I38" s="4"/>
    </row>
    <row r="39" customFormat="false" ht="19.5" hidden="false" customHeight="true" outlineLevel="0" collapsed="false">
      <c r="B39" s="2"/>
      <c r="C39" s="11" t="s">
        <v>102</v>
      </c>
      <c r="D39" s="11"/>
      <c r="E39" s="11"/>
      <c r="F39" s="12" t="n">
        <f aca="false">COUNTIF($G$9:$G$35,"미확인")</f>
        <v>3</v>
      </c>
      <c r="G39" s="4"/>
      <c r="H39" s="4"/>
      <c r="I39" s="4"/>
    </row>
    <row r="40" customFormat="false" ht="19.5" hidden="false" customHeight="true" outlineLevel="0" collapsed="false">
      <c r="B40" s="2"/>
      <c r="C40" s="11" t="s">
        <v>103</v>
      </c>
      <c r="D40" s="11"/>
      <c r="E40" s="11"/>
      <c r="F40" s="12" t="n">
        <f aca="false">COUNTIF($G$9:$G$35,"해당없음")</f>
        <v>6</v>
      </c>
      <c r="G40" s="4"/>
      <c r="H40" s="4"/>
      <c r="I40" s="4"/>
    </row>
    <row r="41" customFormat="false" ht="19.5" hidden="false" customHeight="true" outlineLevel="0" collapsed="false">
      <c r="B41" s="2"/>
      <c r="C41" s="11" t="s">
        <v>104</v>
      </c>
      <c r="D41" s="11"/>
      <c r="E41" s="11"/>
      <c r="F41" s="12" t="n">
        <f aca="false">COUNTA($E$9:$E$35)-COUNTA($G$9:$G$35)</f>
        <v>0</v>
      </c>
      <c r="G41" s="4"/>
      <c r="H41" s="4"/>
      <c r="I41" s="4"/>
    </row>
    <row r="42" customFormat="false" ht="19.5" hidden="false" customHeight="true" outlineLevel="0" collapsed="false">
      <c r="B42" s="2"/>
      <c r="C42" s="11" t="s">
        <v>105</v>
      </c>
      <c r="D42" s="11"/>
      <c r="E42" s="11"/>
      <c r="F42" s="12" t="n">
        <f aca="false">COUNTA($E$9:$E$35)</f>
        <v>27</v>
      </c>
      <c r="G42" s="4"/>
      <c r="H42" s="4"/>
      <c r="I42" s="4"/>
    </row>
    <row r="43" customFormat="false" ht="7.5" hidden="false" customHeight="true" outlineLevel="0" collapsed="false"/>
    <row r="44" customFormat="false" ht="21.75" hidden="false" customHeight="true" outlineLevel="0" collapsed="false">
      <c r="B44" s="13" t="s">
        <v>106</v>
      </c>
      <c r="C44" s="13"/>
      <c r="D44" s="13"/>
      <c r="E44" s="13"/>
      <c r="F44" s="13"/>
      <c r="G44" s="13"/>
      <c r="H44" s="13"/>
      <c r="I44" s="13"/>
    </row>
    <row r="45" customFormat="false" ht="42" hidden="false" customHeight="true" outlineLevel="0" collapsed="false">
      <c r="B45" s="11" t="s">
        <v>107</v>
      </c>
      <c r="C45" s="14"/>
      <c r="D45" s="14"/>
      <c r="E45" s="14"/>
      <c r="F45" s="14"/>
      <c r="G45" s="14"/>
      <c r="H45" s="14"/>
      <c r="I45" s="14"/>
    </row>
    <row r="46" customFormat="false" ht="42" hidden="false" customHeight="true" outlineLevel="0" collapsed="false">
      <c r="B46" s="11" t="s">
        <v>108</v>
      </c>
      <c r="C46" s="14"/>
      <c r="D46" s="14"/>
      <c r="E46" s="14"/>
      <c r="F46" s="14"/>
      <c r="G46" s="14"/>
      <c r="H46" s="14"/>
      <c r="I46" s="14"/>
    </row>
  </sheetData>
  <mergeCells count="25">
    <mergeCell ref="B2:I2"/>
    <mergeCell ref="C3:E3"/>
    <mergeCell ref="F3:I6"/>
    <mergeCell ref="C4:E4"/>
    <mergeCell ref="C5:E5"/>
    <mergeCell ref="C6:E6"/>
    <mergeCell ref="B7:I7"/>
    <mergeCell ref="B9:B10"/>
    <mergeCell ref="B11:B13"/>
    <mergeCell ref="B14:B17"/>
    <mergeCell ref="B18:B22"/>
    <mergeCell ref="B23:B27"/>
    <mergeCell ref="B28:B32"/>
    <mergeCell ref="B33:B35"/>
    <mergeCell ref="B37:B42"/>
    <mergeCell ref="C37:E37"/>
    <mergeCell ref="G37:I42"/>
    <mergeCell ref="C38:E38"/>
    <mergeCell ref="C39:E39"/>
    <mergeCell ref="C40:E40"/>
    <mergeCell ref="C41:E41"/>
    <mergeCell ref="C42:E42"/>
    <mergeCell ref="B44:I44"/>
    <mergeCell ref="C45:I45"/>
    <mergeCell ref="C46:I46"/>
  </mergeCells>
  <conditionalFormatting sqref="G9:G35">
    <cfRule type="cellIs" priority="2" operator="equal" aboveAverage="0" equalAverage="0" bottom="0" percent="0" rank="0" text="" dxfId="0">
      <formula>"통과"</formula>
    </cfRule>
    <cfRule type="cellIs" priority="3" operator="equal" aboveAverage="0" equalAverage="0" bottom="0" percent="0" rank="0" text="" dxfId="1">
      <formula>"실패"</formula>
    </cfRule>
    <cfRule type="cellIs" priority="4" operator="equal" aboveAverage="0" equalAverage="0" bottom="0" percent="0" rank="0" text="" dxfId="2">
      <formula>"미확인"</formula>
    </cfRule>
    <cfRule type="cellIs" priority="5" operator="equal" aboveAverage="0" equalAverage="0" bottom="0" percent="0" rank="0" text="" dxfId="3">
      <formula>"해당없음"</formula>
    </cfRule>
  </conditionalFormatting>
  <dataValidations count="2">
    <dataValidation allowBlank="true" errorStyle="stop" operator="between" showDropDown="false" showErrorMessage="false" showInputMessage="false" sqref="C3" type="list">
      <formula1>"셀프,상호"</formula1>
      <formula2>0</formula2>
    </dataValidation>
    <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formula1>"통과,실패,미확인,해당없음"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5" t="s">
        <v>109</v>
      </c>
      <c r="C2" s="15"/>
      <c r="D2" s="15"/>
      <c r="E2" s="15"/>
      <c r="F2" s="15"/>
      <c r="G2" s="15"/>
      <c r="H2" s="15"/>
    </row>
    <row r="4" customFormat="false" ht="45.75" hidden="false" customHeight="true" outlineLevel="0" collapsed="false">
      <c r="B4" s="16" t="s">
        <v>110</v>
      </c>
      <c r="C4" s="17" t="s">
        <v>111</v>
      </c>
      <c r="D4" s="17"/>
      <c r="E4" s="17"/>
      <c r="F4" s="17"/>
      <c r="G4" s="17"/>
      <c r="H4" s="17"/>
    </row>
    <row r="5" customFormat="false" ht="45.75" hidden="false" customHeight="true" outlineLevel="0" collapsed="false">
      <c r="B5" s="16" t="s">
        <v>112</v>
      </c>
      <c r="C5" s="17" t="s">
        <v>113</v>
      </c>
      <c r="D5" s="17"/>
      <c r="E5" s="17"/>
      <c r="F5" s="17"/>
      <c r="G5" s="17"/>
      <c r="H5" s="17"/>
    </row>
    <row r="6" customFormat="false" ht="81.75" hidden="false" customHeight="true" outlineLevel="0" collapsed="false">
      <c r="B6" s="16" t="s">
        <v>12</v>
      </c>
      <c r="C6" s="17" t="s">
        <v>114</v>
      </c>
      <c r="D6" s="17"/>
      <c r="E6" s="17"/>
      <c r="F6" s="17"/>
      <c r="G6" s="17"/>
      <c r="H6" s="17"/>
    </row>
    <row r="7" customFormat="false" ht="45.75" hidden="false" customHeight="true" outlineLevel="0" collapsed="false">
      <c r="B7" s="16" t="s">
        <v>115</v>
      </c>
      <c r="C7" s="17" t="s">
        <v>116</v>
      </c>
      <c r="D7" s="17"/>
      <c r="E7" s="17"/>
      <c r="F7" s="17"/>
      <c r="G7" s="17"/>
      <c r="H7" s="17"/>
    </row>
    <row r="8" customFormat="false" ht="27.75" hidden="false" customHeight="true" outlineLevel="0" collapsed="false">
      <c r="B8" s="16" t="s">
        <v>98</v>
      </c>
      <c r="C8" s="17" t="s">
        <v>117</v>
      </c>
      <c r="D8" s="17"/>
      <c r="E8" s="17"/>
      <c r="F8" s="17"/>
      <c r="G8" s="17"/>
      <c r="H8" s="17"/>
    </row>
    <row r="9" customFormat="false" ht="45.75" hidden="false" customHeight="true" outlineLevel="0" collapsed="false">
      <c r="B9" s="16" t="s">
        <v>118</v>
      </c>
      <c r="C9" s="17" t="s">
        <v>119</v>
      </c>
      <c r="D9" s="17"/>
      <c r="E9" s="17"/>
      <c r="F9" s="17"/>
      <c r="G9" s="17"/>
      <c r="H9" s="17"/>
    </row>
    <row r="10" customFormat="false" ht="27.75" hidden="false" customHeight="true" outlineLevel="0" collapsed="false">
      <c r="B10" s="16" t="s">
        <v>120</v>
      </c>
      <c r="C10" s="18" t="s">
        <v>121</v>
      </c>
      <c r="D10" s="18"/>
      <c r="E10" s="18"/>
      <c r="F10" s="18"/>
      <c r="G10" s="18"/>
      <c r="H10" s="18"/>
    </row>
    <row r="12" customFormat="false" ht="15" hidden="false" customHeight="true" outlineLevel="0" collapsed="false">
      <c r="B12" s="19" t="s">
        <v>122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B13" s="20" t="s">
        <v>7</v>
      </c>
      <c r="C13" s="20" t="s">
        <v>8</v>
      </c>
      <c r="D13" s="20" t="s">
        <v>9</v>
      </c>
      <c r="E13" s="20" t="s">
        <v>10</v>
      </c>
      <c r="F13" s="20" t="s">
        <v>12</v>
      </c>
      <c r="G13" s="20" t="s">
        <v>123</v>
      </c>
      <c r="H13" s="20" t="s">
        <v>124</v>
      </c>
    </row>
    <row r="14" customFormat="false" ht="45.75" hidden="false" customHeight="true" outlineLevel="0" collapsed="false">
      <c r="B14" s="4" t="s">
        <v>22</v>
      </c>
      <c r="C14" s="21" t="n">
        <v>4</v>
      </c>
      <c r="D14" s="22" t="s">
        <v>26</v>
      </c>
      <c r="E14" s="4" t="s">
        <v>27</v>
      </c>
      <c r="F14" s="23" t="s">
        <v>99</v>
      </c>
      <c r="G14" s="22" t="s">
        <v>125</v>
      </c>
      <c r="H14" s="4"/>
    </row>
    <row r="15" customFormat="false" ht="45.75" hidden="false" customHeight="true" outlineLevel="0" collapsed="false">
      <c r="B15" s="4" t="s">
        <v>32</v>
      </c>
      <c r="C15" s="21" t="n">
        <v>9</v>
      </c>
      <c r="D15" s="22" t="s">
        <v>42</v>
      </c>
      <c r="E15" s="4" t="s">
        <v>126</v>
      </c>
      <c r="F15" s="24" t="s">
        <v>101</v>
      </c>
      <c r="G15" s="22" t="s">
        <v>127</v>
      </c>
      <c r="H15" s="4" t="s">
        <v>128</v>
      </c>
    </row>
    <row r="16" customFormat="false" ht="45.75" hidden="false" customHeight="true" outlineLevel="0" collapsed="false">
      <c r="B16" s="4" t="s">
        <v>129</v>
      </c>
      <c r="C16" s="21" t="n">
        <v>16</v>
      </c>
      <c r="D16" s="22" t="s">
        <v>64</v>
      </c>
      <c r="E16" s="4" t="s">
        <v>130</v>
      </c>
      <c r="F16" s="25" t="s">
        <v>103</v>
      </c>
      <c r="G16" s="4"/>
      <c r="H16" s="22" t="s">
        <v>131</v>
      </c>
    </row>
    <row r="17" customFormat="false" ht="45.75" hidden="false" customHeight="true" outlineLevel="0" collapsed="false">
      <c r="B17" s="4" t="s">
        <v>75</v>
      </c>
      <c r="C17" s="21" t="n">
        <v>20</v>
      </c>
      <c r="D17" s="22" t="s">
        <v>76</v>
      </c>
      <c r="E17" s="4" t="s">
        <v>77</v>
      </c>
      <c r="F17" s="26" t="s">
        <v>102</v>
      </c>
      <c r="G17" s="4"/>
      <c r="H17" s="22" t="s">
        <v>132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2026-10-18T09:09:01Z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